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Projets\P_RES_300\"/>
    </mc:Choice>
  </mc:AlternateContent>
  <xr:revisionPtr revIDLastSave="0" documentId="13_ncr:1_{B9CDA323-148C-4861-9540-BA28A9BE2345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Planning!$A$1:$D$8</definedName>
    <definedName name="objPlanifWeek">PlanificationWeek!$A$1:$D$14</definedName>
    <definedName name="objRealizedWeek" localSheetId="6">achievementWeek!$A$1:$D$19</definedName>
    <definedName name="objRealizedWeek" localSheetId="7">JNLTRAV!$A$1:$D$8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63" l="1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2" i="163"/>
  <c r="C31" i="163"/>
  <c r="D1" i="157"/>
  <c r="D9" i="157" s="1"/>
  <c r="D18" i="157" s="1"/>
  <c r="D37" i="157" s="1"/>
  <c r="D56" i="157" s="1"/>
  <c r="D75" i="157" s="1"/>
  <c r="D94" i="157" s="1"/>
  <c r="D113" i="157" s="1"/>
  <c r="D132" i="157" s="1"/>
  <c r="B149" i="157"/>
  <c r="B130" i="157"/>
  <c r="B111" i="157"/>
  <c r="B92" i="157"/>
  <c r="B73" i="157"/>
  <c r="B54" i="157"/>
  <c r="B35" i="157"/>
  <c r="B16" i="157"/>
  <c r="B7" i="157"/>
  <c r="B71" i="156"/>
  <c r="B61" i="156"/>
  <c r="B53" i="156"/>
  <c r="B46" i="156"/>
  <c r="B38" i="156"/>
  <c r="B31" i="156"/>
  <c r="B23" i="156"/>
  <c r="B16" i="156"/>
  <c r="B7" i="156"/>
  <c r="B18" i="154" l="1"/>
  <c r="B13" i="11" l="1"/>
</calcChain>
</file>

<file path=xl/sharedStrings.xml><?xml version="1.0" encoding="utf-8"?>
<sst xmlns="http://schemas.openxmlformats.org/spreadsheetml/2006/main" count="299" uniqueCount="88">
  <si>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</si>
  <si>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</si>
  <si>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</si>
  <si>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</si>
  <si>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</si>
  <si>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</si>
  <si>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</si>
  <si>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</si>
  <si>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</si>
  <si>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</si>
  <si>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</si>
  <si>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</si>
  <si>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</si>
  <si>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</si>
  <si>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</si>
  <si>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</si>
  <si>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</si>
  <si>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</si>
  <si>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</si>
  <si>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</si>
  <si>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</si>
  <si>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</si>
  <si>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</si>
  <si>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</si>
  <si>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</si>
  <si>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</si>
  <si>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</si>
  <si>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RES_300</t>
  </si>
  <si>
    <t>Planification initiale</t>
  </si>
  <si>
    <t>Installation et configuration pfSense</t>
  </si>
  <si>
    <t>Tests réseau (ping)</t>
  </si>
  <si>
    <t>Tests DNS (FQDN, nslookup)</t>
  </si>
  <si>
    <t>Tests DHCP (release/renew)</t>
  </si>
  <si>
    <t>Journal de travail régulier</t>
  </si>
  <si>
    <t>Rédaction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</si>
  <si>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</si>
  <si>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</si>
  <si>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</si>
  <si>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</si>
  <si>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</si>
  <si>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</si>
  <si>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</si>
  <si>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</si>
  <si>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</si>
  <si>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Max. 12</t>
  </si>
  <si>
    <t>STOP</t>
  </si>
  <si>
    <t>Lecture du cahier des charges et planification initiale du projet</t>
  </si>
  <si>
    <t>DNS</t>
  </si>
  <si>
    <t>Début projet, VMs</t>
  </si>
  <si>
    <t>DHCP</t>
  </si>
  <si>
    <t>OpenLDAP</t>
  </si>
  <si>
    <t>Tests, Rapport, Fin projet</t>
  </si>
  <si>
    <t>Rédaction quotidienne du rapport</t>
  </si>
  <si>
    <t>Mise à jour du journal de travail</t>
  </si>
  <si>
    <t>Mise à jour du journal de travail et paufinage</t>
  </si>
  <si>
    <t>Tests réseau entre les deux machines virtuelles, communication entre celles-ci (ping)</t>
  </si>
  <si>
    <t>Différents tests DNS pour vérifier le bon fonctionnement de ce dernier</t>
  </si>
  <si>
    <t>Configuation du service DHCP (étendue, plage d'adresses, plage d'exclusion, masque sous-réseau), bail, passerelle, domaine DNS)</t>
  </si>
  <si>
    <t>Différents tests DHCP pour vérifier le bon fonctionnement de ce dernier</t>
  </si>
  <si>
    <t>Différents tests OpenLDAP pour vérifier le bon fonctionnement de ce dernier</t>
  </si>
  <si>
    <t>Dernière rédaction poussée du rapport et paufinage</t>
  </si>
  <si>
    <t>Derniers tests et vérification du DHCP des deux machines virtuelles</t>
  </si>
  <si>
    <t>Derniers tests et vérification du DNS des deux machines virtuelles</t>
  </si>
  <si>
    <t>Derniers tests et vérification de la communication des deux machines virtuelles</t>
  </si>
  <si>
    <t>Derniers tests et vérification de OpenLDAP des deux machines virtuelles</t>
  </si>
  <si>
    <t>Installation et configuration du service pfSense pour l'accès à internet</t>
  </si>
  <si>
    <t>Installation et configuration DHCP</t>
  </si>
  <si>
    <t>Installation et configuration OpenLDAP</t>
  </si>
  <si>
    <t>Installation et configuration(réseau) de la machine virtuelle Linux Debian</t>
  </si>
  <si>
    <t>Installation et configuration(réseau) de la machine virtuelle Windows 11</t>
  </si>
  <si>
    <t>Installation et configuration VM Debian-Srv1</t>
  </si>
  <si>
    <t>Installation et configuration VM Windows 11</t>
  </si>
  <si>
    <t>Installation et configuration DNS (Bind9)</t>
  </si>
  <si>
    <t>Installation du service DNS sous Bind9, configuration DNS de la zone directe du domaine pubsoft.local</t>
  </si>
  <si>
    <t>Installation du service DHCP, configuation du service DHCP (étendue, plage d'adresses, plage d'exclusion, masque sous-réseau), bail, passerelle, domaine DNS)</t>
  </si>
  <si>
    <t>Installation du service OpenLDAP, configuation du service OpenLDAP(création des utilisateurs, intégration du client Windows dans le domaine Samba, connexion sur les comptes crées)</t>
  </si>
  <si>
    <t>Configuation du service OpenLDAP (création des utilisateurs, intégration du client Windows dans le domaine Samba, connexion sur les comptes crées)</t>
  </si>
  <si>
    <t>Configuration DNS de la zone indirecte(calquée sur la zone directe) du domaine pubsoft.local</t>
  </si>
  <si>
    <t>Tests OpenLDAP (users)</t>
  </si>
  <si>
    <t>ISO : https://www.debian.org/index.fr.html</t>
  </si>
  <si>
    <t>VMs, pfSense</t>
  </si>
  <si>
    <t>Rédaction quotidienne du rapport (début rapport, installation de debian)</t>
  </si>
  <si>
    <t>Installation et configuration(réseau) de la machine virtuelle Linux Debian terminée</t>
  </si>
  <si>
    <t>Lecture du cahier des charges et planification initiale du projet terminé</t>
  </si>
  <si>
    <t>Installation et configuration(réseau) de la machine virtuelle Windows 11 terminée</t>
  </si>
  <si>
    <t>Installation et configuration du service pfSense pour l'accès à internet terminée</t>
  </si>
  <si>
    <t>Rédaction quotidienne du rapport (ajouts de printscrenn et quelques phrases)</t>
  </si>
  <si>
    <t>Tests réseau entre les deux machines virtuelles, communication entre celles-ci (ping) terminé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</si>
</sst>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2" borderId="14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zoomScaleNormal="100" zoomScaleSheetLayoutView="100" workbookViewId="0">
      <selection activeCell="J18" sqref="J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45733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45803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8" t="s">
        <v>18</v>
      </c>
      <c r="C19" s="129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70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71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29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72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31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66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2" t="s">
        <v>32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2" t="s">
        <v>67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78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6D5F-8049-4FAA-9A06-84C3BD862528}">
  <sheetPr codeName="Feuil7"/>
  <dimension ref="A1:DG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11" ht="14.25" thickBot="1" x14ac:dyDescent="0.3">
      <c r="B1" s="90"/>
      <c r="C1" s="90"/>
    </row>
    <row r="2" spans="1:111" ht="42.75" customHeight="1" thickBot="1" x14ac:dyDescent="0.3">
      <c r="A2" s="91"/>
      <c r="B2" s="23" t="s">
        <v>4</v>
      </c>
      <c r="C2" s="15" t="s">
        <v>17</v>
      </c>
      <c r="D2" s="130" t="s">
        <v>35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  <c r="P2" s="130" t="s">
        <v>36</v>
      </c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2"/>
      <c r="AB2" s="130" t="s">
        <v>37</v>
      </c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2"/>
      <c r="AN2" s="130" t="s">
        <v>38</v>
      </c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2"/>
      <c r="AZ2" s="130" t="s">
        <v>39</v>
      </c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40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2"/>
      <c r="BX2" s="130" t="s">
        <v>41</v>
      </c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2"/>
      <c r="CJ2" s="130" t="s">
        <v>42</v>
      </c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2"/>
      <c r="CV2" s="130" t="s">
        <v>43</v>
      </c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2"/>
    </row>
    <row r="3" spans="1:111" ht="19.5" customHeight="1" x14ac:dyDescent="0.25">
      <c r="A3" s="91"/>
      <c r="B3" s="135" t="s">
        <v>20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</row>
    <row r="4" spans="1:111" ht="19.5" customHeight="1" thickBot="1" x14ac:dyDescent="0.3">
      <c r="A4" s="91"/>
      <c r="B4" s="136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</row>
    <row r="5" spans="1:111" ht="19.5" customHeight="1" x14ac:dyDescent="0.25">
      <c r="B5" s="137" t="str">
        <f>Donnees!$C$21</f>
        <v>Planification initiale</v>
      </c>
      <c r="C5" s="102">
        <v>6</v>
      </c>
      <c r="D5" s="118"/>
      <c r="E5" s="119"/>
      <c r="F5" s="120"/>
      <c r="G5" s="121"/>
      <c r="H5" s="119"/>
      <c r="I5" s="120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</row>
    <row r="6" spans="1:111" ht="19.5" customHeight="1" thickBot="1" x14ac:dyDescent="0.3">
      <c r="B6" s="134"/>
      <c r="C6" s="103">
        <v>7</v>
      </c>
      <c r="D6" s="123"/>
      <c r="E6" s="124"/>
      <c r="F6" s="125"/>
      <c r="G6" s="126"/>
      <c r="H6" s="124"/>
      <c r="I6" s="125"/>
      <c r="J6" s="126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</row>
    <row r="7" spans="1:111" ht="19.5" customHeight="1" x14ac:dyDescent="0.25">
      <c r="B7" s="133" t="str">
        <f>Donnees!$C$22</f>
        <v>Rédaction rapport</v>
      </c>
      <c r="C7" s="102">
        <v>15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119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119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119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119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119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119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119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119"/>
      <c r="CU7" s="96"/>
      <c r="CV7" s="92"/>
      <c r="CW7" s="93"/>
      <c r="CX7" s="94"/>
      <c r="CY7" s="95"/>
      <c r="CZ7" s="119"/>
      <c r="DA7" s="120"/>
      <c r="DB7" s="121"/>
      <c r="DC7" s="119"/>
      <c r="DD7" s="120"/>
      <c r="DE7" s="121"/>
      <c r="DF7" s="119"/>
      <c r="DG7" s="96"/>
    </row>
    <row r="8" spans="1:111" ht="19.5" customHeight="1" thickBot="1" x14ac:dyDescent="0.3">
      <c r="B8" s="134"/>
      <c r="C8" s="103">
        <v>2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124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124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</row>
    <row r="9" spans="1:111" ht="19.5" customHeight="1" x14ac:dyDescent="0.25">
      <c r="B9" s="133" t="str">
        <f>Donnees!$C$23</f>
        <v>Journal de travail régulier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122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122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122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122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122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122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122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122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122"/>
    </row>
    <row r="10" spans="1:111" ht="19.5" customHeight="1" thickBot="1" x14ac:dyDescent="0.3">
      <c r="B10" s="134"/>
      <c r="C10" s="103">
        <v>2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7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27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</row>
    <row r="11" spans="1:111" ht="19.5" customHeight="1" x14ac:dyDescent="0.25">
      <c r="B11" s="133" t="str">
        <f>Donnees!$C$24</f>
        <v>Installation et configuration VM Debian-Srv1</v>
      </c>
      <c r="C11" s="102">
        <v>4</v>
      </c>
      <c r="D11" s="92"/>
      <c r="E11" s="93"/>
      <c r="F11" s="94"/>
      <c r="G11" s="95"/>
      <c r="H11" s="93"/>
      <c r="I11" s="94"/>
      <c r="J11" s="121"/>
      <c r="K11" s="119"/>
      <c r="L11" s="120"/>
      <c r="M11" s="121"/>
      <c r="N11" s="93"/>
      <c r="O11" s="96"/>
      <c r="P11" s="92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</row>
    <row r="12" spans="1:111" ht="19.5" customHeight="1" thickBot="1" x14ac:dyDescent="0.3">
      <c r="B12" s="134"/>
      <c r="C12" s="103">
        <v>3</v>
      </c>
      <c r="D12" s="97"/>
      <c r="E12" s="98"/>
      <c r="F12" s="99"/>
      <c r="G12" s="100"/>
      <c r="H12" s="98"/>
      <c r="I12" s="99"/>
      <c r="J12" s="100"/>
      <c r="K12" s="124"/>
      <c r="L12" s="125"/>
      <c r="M12" s="126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</row>
    <row r="13" spans="1:111" ht="19.5" customHeight="1" x14ac:dyDescent="0.25">
      <c r="B13" s="133" t="str">
        <f>Donnees!$C$25</f>
        <v>Installation et configuration VM Windows 11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118"/>
      <c r="Q13" s="119"/>
      <c r="R13" s="120"/>
      <c r="S13" s="121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</row>
    <row r="14" spans="1:111" ht="19.5" customHeight="1" thickBot="1" x14ac:dyDescent="0.3">
      <c r="B14" s="134"/>
      <c r="C14" s="103">
        <v>4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123"/>
      <c r="Q14" s="124"/>
      <c r="R14" s="125"/>
      <c r="S14" s="126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</row>
    <row r="15" spans="1:111" ht="19.5" customHeight="1" x14ac:dyDescent="0.25">
      <c r="B15" s="133" t="str">
        <f>Donnees!$C$26</f>
        <v>Installation et configuration pfSense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119"/>
      <c r="U15" s="120"/>
      <c r="V15" s="121"/>
      <c r="W15" s="119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</row>
    <row r="16" spans="1:111" ht="19.5" customHeight="1" thickBot="1" x14ac:dyDescent="0.3">
      <c r="A16" s="104"/>
      <c r="B16" s="134"/>
      <c r="C16" s="103">
        <v>4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124"/>
      <c r="U16" s="125"/>
      <c r="V16" s="126"/>
      <c r="W16" s="124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</row>
    <row r="17" spans="2:111" ht="19.5" customHeight="1" x14ac:dyDescent="0.25">
      <c r="B17" s="133" t="str">
        <f>Donnees!$C$27</f>
        <v>Tests réseau (ping)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120"/>
      <c r="Y17" s="121"/>
      <c r="Z17" s="93"/>
      <c r="AA17" s="96"/>
      <c r="AB17" s="92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118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</row>
    <row r="18" spans="2:111" ht="19.5" customHeight="1" thickBot="1" x14ac:dyDescent="0.3">
      <c r="B18" s="134"/>
      <c r="C18" s="103">
        <v>2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125"/>
      <c r="Y18" s="126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</row>
    <row r="19" spans="2:111" ht="19.5" customHeight="1" x14ac:dyDescent="0.25">
      <c r="B19" s="133" t="str">
        <f>Donnees!$C$28</f>
        <v>Installation et configuration DNS (Bind9)</v>
      </c>
      <c r="C19" s="102">
        <v>18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118"/>
      <c r="AC19" s="119"/>
      <c r="AD19" s="120"/>
      <c r="AE19" s="121"/>
      <c r="AF19" s="119"/>
      <c r="AG19" s="120"/>
      <c r="AH19" s="121"/>
      <c r="AI19" s="119"/>
      <c r="AJ19" s="120"/>
      <c r="AK19" s="121"/>
      <c r="AL19" s="93"/>
      <c r="AM19" s="96"/>
      <c r="AN19" s="118"/>
      <c r="AO19" s="119"/>
      <c r="AP19" s="120"/>
      <c r="AQ19" s="121"/>
      <c r="AR19" s="119"/>
      <c r="AS19" s="120"/>
      <c r="AT19" s="121"/>
      <c r="AU19" s="119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</row>
    <row r="20" spans="2:111" ht="19.5" customHeight="1" thickBot="1" x14ac:dyDescent="0.3">
      <c r="B20" s="134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</row>
    <row r="21" spans="2:111" ht="19.5" customHeight="1" x14ac:dyDescent="0.25">
      <c r="B21" s="133" t="str">
        <f>Donnees!$C$29</f>
        <v>Tests DNS (FQDN, nslookup)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92"/>
      <c r="AO21" s="93"/>
      <c r="AP21" s="94"/>
      <c r="AQ21" s="95"/>
      <c r="AR21" s="93"/>
      <c r="AS21" s="94"/>
      <c r="AT21" s="95"/>
      <c r="AU21" s="93"/>
      <c r="AV21" s="120"/>
      <c r="AW21" s="121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119"/>
      <c r="CX21" s="94"/>
      <c r="CY21" s="95"/>
      <c r="CZ21" s="93"/>
      <c r="DA21" s="94"/>
      <c r="DB21" s="95"/>
      <c r="DC21" s="93"/>
      <c r="DD21" s="94"/>
      <c r="DE21" s="95"/>
      <c r="DF21" s="93"/>
      <c r="DG21" s="96"/>
    </row>
    <row r="22" spans="2:111" ht="19.5" customHeight="1" thickBot="1" x14ac:dyDescent="0.3">
      <c r="B22" s="134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</row>
    <row r="23" spans="2:111" ht="19.5" customHeight="1" x14ac:dyDescent="0.25">
      <c r="B23" s="133" t="str">
        <f>Donnees!$C$30</f>
        <v>Installation et configuration DHCP</v>
      </c>
      <c r="C23" s="102">
        <v>18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6"/>
      <c r="AZ23" s="118"/>
      <c r="BA23" s="119"/>
      <c r="BB23" s="120"/>
      <c r="BC23" s="121"/>
      <c r="BD23" s="119"/>
      <c r="BE23" s="120"/>
      <c r="BF23" s="121"/>
      <c r="BG23" s="119"/>
      <c r="BH23" s="120"/>
      <c r="BI23" s="121"/>
      <c r="BJ23" s="93"/>
      <c r="BK23" s="96"/>
      <c r="BL23" s="118"/>
      <c r="BM23" s="119"/>
      <c r="BN23" s="120"/>
      <c r="BO23" s="121"/>
      <c r="BP23" s="119"/>
      <c r="BQ23" s="120"/>
      <c r="BR23" s="121"/>
      <c r="BS23" s="119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</row>
    <row r="24" spans="2:111" ht="19.5" customHeight="1" thickBot="1" x14ac:dyDescent="0.3">
      <c r="B24" s="134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</row>
    <row r="25" spans="2:111" ht="19.5" customHeight="1" x14ac:dyDescent="0.25">
      <c r="B25" s="133" t="str">
        <f>Donnees!$C$31</f>
        <v>Tests DHCP (release/renew)</v>
      </c>
      <c r="C25" s="102">
        <v>3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120"/>
      <c r="BU25" s="121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120"/>
      <c r="CY25" s="95"/>
      <c r="CZ25" s="93"/>
      <c r="DA25" s="94"/>
      <c r="DB25" s="95"/>
      <c r="DC25" s="93"/>
      <c r="DD25" s="94"/>
      <c r="DE25" s="95"/>
      <c r="DF25" s="93"/>
      <c r="DG25" s="96"/>
    </row>
    <row r="26" spans="2:111" ht="19.5" customHeight="1" thickBot="1" x14ac:dyDescent="0.3">
      <c r="B26" s="134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</row>
    <row r="27" spans="2:111" ht="19.5" customHeight="1" x14ac:dyDescent="0.25">
      <c r="B27" s="133" t="str">
        <f>Donnees!$C$32</f>
        <v>Installation et configuration OpenLDAP</v>
      </c>
      <c r="C27" s="102">
        <v>18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118"/>
      <c r="BY27" s="119"/>
      <c r="BZ27" s="120"/>
      <c r="CA27" s="121"/>
      <c r="CB27" s="119"/>
      <c r="CC27" s="120"/>
      <c r="CD27" s="121"/>
      <c r="CE27" s="119"/>
      <c r="CF27" s="120"/>
      <c r="CG27" s="121"/>
      <c r="CH27" s="93"/>
      <c r="CI27" s="96"/>
      <c r="CJ27" s="118"/>
      <c r="CK27" s="119"/>
      <c r="CL27" s="120"/>
      <c r="CM27" s="121"/>
      <c r="CN27" s="119"/>
      <c r="CO27" s="120"/>
      <c r="CP27" s="121"/>
      <c r="CQ27" s="119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</row>
    <row r="28" spans="2:111" ht="19.5" customHeight="1" thickBot="1" x14ac:dyDescent="0.3">
      <c r="B28" s="134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</row>
    <row r="29" spans="2:111" ht="19.5" customHeight="1" x14ac:dyDescent="0.25">
      <c r="B29" s="133" t="str">
        <f>Donnees!$C$33</f>
        <v>Tests OpenLDAP (users)</v>
      </c>
      <c r="C29" s="102">
        <v>3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94"/>
      <c r="AW29" s="95"/>
      <c r="AX29" s="93"/>
      <c r="AY29" s="96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120"/>
      <c r="CS29" s="121"/>
      <c r="CT29" s="93"/>
      <c r="CU29" s="96"/>
      <c r="CV29" s="92"/>
      <c r="CW29" s="93"/>
      <c r="CX29" s="94"/>
      <c r="CY29" s="121"/>
      <c r="CZ29" s="93"/>
      <c r="DA29" s="94"/>
      <c r="DB29" s="95"/>
      <c r="DC29" s="93"/>
      <c r="DD29" s="94"/>
      <c r="DE29" s="95"/>
      <c r="DF29" s="93"/>
      <c r="DG29" s="96"/>
    </row>
    <row r="30" spans="2:111" ht="19.5" customHeight="1" x14ac:dyDescent="0.25">
      <c r="B30" s="134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</row>
    <row r="31" spans="2:111" ht="19.5" customHeight="1" x14ac:dyDescent="0.25">
      <c r="B31" s="25" t="s">
        <v>15</v>
      </c>
      <c r="C31" s="27">
        <f>SUM($C$3,$C$5,$C$7,$C$9,$C$11,$C$13,$C$15,$C$17,$C$19,$C$21,$C$23,$C$25,$C$27,$C$29)</f>
        <v>108</v>
      </c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7"/>
      <c r="P31" s="105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7"/>
      <c r="AB31" s="105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7"/>
      <c r="AN31" s="105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7"/>
      <c r="AZ31" s="105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7"/>
      <c r="BL31" s="105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7"/>
      <c r="BX31" s="105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7"/>
      <c r="CJ31" s="105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7"/>
      <c r="CV31" s="105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7"/>
    </row>
    <row r="32" spans="2:111" ht="19.5" customHeight="1" thickBot="1" x14ac:dyDescent="0.3">
      <c r="B32" s="26" t="s">
        <v>16</v>
      </c>
      <c r="C32" s="28">
        <f>SUM($C$4,$C$6,$C$8,$C$10,$C$12,$C$14,$C$16,$C$18,$C$20,$C$22,$C$24,$C$26,$C$28,$C$30)</f>
        <v>24</v>
      </c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8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10"/>
      <c r="AB32" s="108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10"/>
      <c r="AN32" s="108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10"/>
      <c r="AZ32" s="108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10"/>
      <c r="BL32" s="108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10"/>
      <c r="BX32" s="108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10"/>
      <c r="CJ32" s="108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10"/>
      <c r="CV32" s="108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10"/>
    </row>
  </sheetData>
  <sheetProtection sheet="1" objects="1" scenarios="1" insertRows="0" selectLockedCells="1"/>
  <mergeCells count="23">
    <mergeCell ref="AN2:A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B29:B30"/>
    <mergeCell ref="D2:O2"/>
    <mergeCell ref="P2:AA2"/>
    <mergeCell ref="AB2:AM2"/>
    <mergeCell ref="B23:B24"/>
    <mergeCell ref="B25:B26"/>
    <mergeCell ref="AZ2:BK2"/>
    <mergeCell ref="BL2:BW2"/>
    <mergeCell ref="BX2:CI2"/>
    <mergeCell ref="CJ2:CU2"/>
    <mergeCell ref="CV2:DG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0F9A098-236F-4873-8C70-2F9C5834D43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5" t="s">
        <v>20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8DFD-2A2C-4DCC-9D43-6449D79B4912}">
  <sheetPr codeName="Feuil5"/>
  <dimension ref="A1:I73"/>
  <sheetViews>
    <sheetView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13</v>
      </c>
      <c r="B1" s="7">
        <v>1</v>
      </c>
      <c r="C1" s="116" t="s">
        <v>48</v>
      </c>
      <c r="D1" s="87"/>
    </row>
    <row r="2" spans="1:9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9" s="53" customFormat="1" x14ac:dyDescent="0.25">
      <c r="A3" s="5" t="s">
        <v>28</v>
      </c>
      <c r="B3" s="4">
        <v>6</v>
      </c>
      <c r="C3" s="114" t="s">
        <v>46</v>
      </c>
      <c r="D3" s="9"/>
    </row>
    <row r="4" spans="1:9" s="53" customFormat="1" ht="40.5" x14ac:dyDescent="0.25">
      <c r="A4" s="1" t="s">
        <v>70</v>
      </c>
      <c r="B4" s="2">
        <v>4</v>
      </c>
      <c r="C4" s="115" t="s">
        <v>68</v>
      </c>
      <c r="D4" s="10"/>
    </row>
    <row r="5" spans="1:9" s="53" customFormat="1" x14ac:dyDescent="0.25">
      <c r="A5" s="1" t="s">
        <v>34</v>
      </c>
      <c r="B5" s="2">
        <v>1</v>
      </c>
      <c r="C5" s="115" t="s">
        <v>52</v>
      </c>
      <c r="D5" s="10"/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12" t="s">
        <v>21</v>
      </c>
      <c r="B7" s="12">
        <f>SUM(B3:B6)</f>
        <v>12</v>
      </c>
      <c r="C7" s="111" t="s">
        <v>44</v>
      </c>
      <c r="D7" s="13"/>
    </row>
    <row r="8" spans="1:9" ht="15" thickBot="1" x14ac:dyDescent="0.35">
      <c r="A8" s="14"/>
      <c r="B8" s="14"/>
      <c r="C8" s="14"/>
      <c r="D8" s="14"/>
    </row>
    <row r="9" spans="1:9" ht="18.75" thickBot="1" x14ac:dyDescent="0.3">
      <c r="A9" s="6" t="s">
        <v>13</v>
      </c>
      <c r="B9" s="7">
        <v>2</v>
      </c>
      <c r="C9" s="116" t="s">
        <v>80</v>
      </c>
      <c r="D9" s="87"/>
    </row>
    <row r="10" spans="1:9" ht="27.75" thickBot="1" x14ac:dyDescent="0.3">
      <c r="A10" s="8" t="s">
        <v>2</v>
      </c>
      <c r="B10" s="18" t="s">
        <v>14</v>
      </c>
      <c r="C10" s="8" t="s">
        <v>6</v>
      </c>
      <c r="D10" s="8" t="s">
        <v>12</v>
      </c>
    </row>
    <row r="11" spans="1:9" ht="40.5" x14ac:dyDescent="0.25">
      <c r="A11" s="5" t="s">
        <v>71</v>
      </c>
      <c r="B11" s="4">
        <v>4</v>
      </c>
      <c r="C11" s="115" t="s">
        <v>69</v>
      </c>
      <c r="D11" s="9"/>
    </row>
    <row r="12" spans="1:9" ht="27" x14ac:dyDescent="0.25">
      <c r="A12" s="1" t="s">
        <v>29</v>
      </c>
      <c r="B12" s="2">
        <v>4</v>
      </c>
      <c r="C12" s="115" t="s">
        <v>65</v>
      </c>
      <c r="D12" s="10"/>
      <c r="E12" s="20"/>
      <c r="F12" s="20"/>
      <c r="G12" s="20"/>
      <c r="H12" s="20"/>
      <c r="I12" s="20"/>
    </row>
    <row r="13" spans="1:9" ht="12.75" customHeight="1" x14ac:dyDescent="0.25">
      <c r="A13" s="1" t="s">
        <v>30</v>
      </c>
      <c r="B13" s="2">
        <v>2</v>
      </c>
      <c r="C13" s="115" t="s">
        <v>55</v>
      </c>
      <c r="D13" s="10"/>
      <c r="E13" s="20"/>
      <c r="F13" s="32"/>
      <c r="G13" s="33"/>
      <c r="H13" s="34"/>
      <c r="I13" s="20"/>
    </row>
    <row r="14" spans="1:9" ht="15" x14ac:dyDescent="0.25">
      <c r="A14" s="1" t="s">
        <v>34</v>
      </c>
      <c r="B14" s="2">
        <v>1</v>
      </c>
      <c r="C14" s="115" t="s">
        <v>52</v>
      </c>
      <c r="D14" s="10"/>
      <c r="E14" s="20"/>
      <c r="F14" s="35"/>
      <c r="G14" s="31"/>
      <c r="H14" s="31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7"/>
      <c r="G15" s="38"/>
      <c r="H15" s="38"/>
      <c r="I15" s="20"/>
    </row>
    <row r="16" spans="1:9" ht="14.25" thickBot="1" x14ac:dyDescent="0.3">
      <c r="A16" s="12" t="s">
        <v>21</v>
      </c>
      <c r="B16" s="12">
        <f>SUM(B11:B15)</f>
        <v>12</v>
      </c>
      <c r="C16" s="111" t="s">
        <v>44</v>
      </c>
      <c r="D16" s="13"/>
      <c r="E16" s="20"/>
      <c r="F16" s="37"/>
      <c r="G16" s="38"/>
      <c r="H16" s="38"/>
      <c r="I16" s="20"/>
    </row>
    <row r="17" spans="1:9" ht="15" thickBot="1" x14ac:dyDescent="0.35">
      <c r="A17" s="14"/>
      <c r="B17" s="14"/>
      <c r="C17" s="14"/>
      <c r="D17" s="14"/>
      <c r="E17" s="20"/>
      <c r="F17" s="37"/>
      <c r="G17" s="38"/>
      <c r="H17" s="38"/>
      <c r="I17" s="20"/>
    </row>
    <row r="18" spans="1:9" ht="18.75" thickBot="1" x14ac:dyDescent="0.3">
      <c r="A18" s="6" t="s">
        <v>13</v>
      </c>
      <c r="B18" s="7">
        <v>3</v>
      </c>
      <c r="C18" s="116" t="s">
        <v>47</v>
      </c>
      <c r="D18" s="87"/>
      <c r="E18" s="20"/>
      <c r="F18" s="37"/>
      <c r="G18" s="38"/>
      <c r="H18" s="38"/>
      <c r="I18" s="20"/>
    </row>
    <row r="19" spans="1:9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  <c r="E19" s="20"/>
      <c r="F19" s="39"/>
      <c r="G19" s="40"/>
      <c r="H19" s="40"/>
      <c r="I19" s="20"/>
    </row>
    <row r="20" spans="1:9" ht="40.5" x14ac:dyDescent="0.3">
      <c r="A20" s="5" t="s">
        <v>72</v>
      </c>
      <c r="B20" s="4">
        <v>10</v>
      </c>
      <c r="C20" s="114" t="s">
        <v>73</v>
      </c>
      <c r="D20" s="9"/>
      <c r="E20" s="20"/>
      <c r="F20" s="41"/>
      <c r="G20" s="41"/>
      <c r="H20" s="41"/>
      <c r="I20" s="20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.75" thickBot="1" x14ac:dyDescent="0.3">
      <c r="A22" s="1" t="s">
        <v>33</v>
      </c>
      <c r="B22" s="2">
        <v>1</v>
      </c>
      <c r="C22" s="115" t="s">
        <v>53</v>
      </c>
      <c r="D22" s="10"/>
    </row>
    <row r="23" spans="1:9" ht="14.25" thickBot="1" x14ac:dyDescent="0.3">
      <c r="A23" s="12" t="s">
        <v>21</v>
      </c>
      <c r="B23" s="12">
        <f>SUM(B20:B22)</f>
        <v>12</v>
      </c>
      <c r="C23" s="111" t="s">
        <v>44</v>
      </c>
      <c r="D23" s="13"/>
    </row>
    <row r="24" spans="1:9" ht="15" thickBot="1" x14ac:dyDescent="0.35">
      <c r="A24" s="14"/>
      <c r="B24" s="14"/>
      <c r="C24" s="14"/>
      <c r="D24" s="14"/>
    </row>
    <row r="25" spans="1:9" ht="18.75" thickBot="1" x14ac:dyDescent="0.3">
      <c r="A25" s="6" t="s">
        <v>13</v>
      </c>
      <c r="B25" s="7">
        <v>4</v>
      </c>
      <c r="C25" s="116" t="s">
        <v>47</v>
      </c>
      <c r="D25" s="87"/>
    </row>
    <row r="26" spans="1:9" ht="27.75" thickBot="1" x14ac:dyDescent="0.3">
      <c r="A26" s="8" t="s">
        <v>2</v>
      </c>
      <c r="B26" s="18" t="s">
        <v>14</v>
      </c>
      <c r="C26" s="8" t="s">
        <v>6</v>
      </c>
      <c r="D26" s="8" t="s">
        <v>12</v>
      </c>
    </row>
    <row r="27" spans="1:9" ht="40.5" x14ac:dyDescent="0.25">
      <c r="A27" s="117" t="s">
        <v>72</v>
      </c>
      <c r="B27" s="4">
        <v>8</v>
      </c>
      <c r="C27" s="115" t="s">
        <v>77</v>
      </c>
      <c r="D27" s="9"/>
    </row>
    <row r="28" spans="1:9" ht="27" x14ac:dyDescent="0.25">
      <c r="A28" s="1" t="s">
        <v>31</v>
      </c>
      <c r="B28" s="2">
        <v>2</v>
      </c>
      <c r="C28" s="115" t="s">
        <v>56</v>
      </c>
      <c r="D28" s="10"/>
    </row>
    <row r="29" spans="1:9" x14ac:dyDescent="0.25">
      <c r="A29" s="1" t="s">
        <v>34</v>
      </c>
      <c r="B29" s="2">
        <v>1</v>
      </c>
      <c r="C29" s="115" t="s">
        <v>52</v>
      </c>
      <c r="D29" s="10"/>
    </row>
    <row r="30" spans="1:9" ht="27.75" thickBot="1" x14ac:dyDescent="0.3">
      <c r="A30" s="1" t="s">
        <v>33</v>
      </c>
      <c r="B30" s="2">
        <v>1</v>
      </c>
      <c r="C30" s="115" t="s">
        <v>53</v>
      </c>
      <c r="D30" s="10"/>
    </row>
    <row r="31" spans="1:9" ht="14.25" thickBot="1" x14ac:dyDescent="0.3">
      <c r="A31" s="12" t="s">
        <v>21</v>
      </c>
      <c r="B31" s="12">
        <f>SUM(B27:B30)</f>
        <v>12</v>
      </c>
      <c r="C31" s="111" t="s">
        <v>44</v>
      </c>
      <c r="D31" s="13"/>
    </row>
    <row r="32" spans="1:9" ht="15" thickBot="1" x14ac:dyDescent="0.35">
      <c r="A32" s="14"/>
      <c r="B32" s="14"/>
      <c r="C32" s="14"/>
      <c r="D32" s="14"/>
    </row>
    <row r="33" spans="1:4" ht="18.75" thickBot="1" x14ac:dyDescent="0.3">
      <c r="A33" s="6" t="s">
        <v>13</v>
      </c>
      <c r="B33" s="7">
        <v>5</v>
      </c>
      <c r="C33" s="116" t="s">
        <v>49</v>
      </c>
      <c r="D33" s="87"/>
    </row>
    <row r="34" spans="1:4" ht="27.75" thickBot="1" x14ac:dyDescent="0.3">
      <c r="A34" s="8" t="s">
        <v>2</v>
      </c>
      <c r="B34" s="18" t="s">
        <v>14</v>
      </c>
      <c r="C34" s="8" t="s">
        <v>6</v>
      </c>
      <c r="D34" s="8" t="s">
        <v>12</v>
      </c>
    </row>
    <row r="35" spans="1:4" ht="27" x14ac:dyDescent="0.25">
      <c r="A35" s="5" t="s">
        <v>66</v>
      </c>
      <c r="B35" s="4">
        <v>10</v>
      </c>
      <c r="C35" s="114" t="s">
        <v>74</v>
      </c>
      <c r="D35" s="9"/>
    </row>
    <row r="36" spans="1:4" x14ac:dyDescent="0.25">
      <c r="A36" s="1" t="s">
        <v>34</v>
      </c>
      <c r="B36" s="2">
        <v>1</v>
      </c>
      <c r="C36" s="115" t="s">
        <v>52</v>
      </c>
      <c r="D36" s="10"/>
    </row>
    <row r="37" spans="1:4" ht="27.75" thickBot="1" x14ac:dyDescent="0.3">
      <c r="A37" s="1" t="s">
        <v>33</v>
      </c>
      <c r="B37" s="2">
        <v>1</v>
      </c>
      <c r="C37" s="115" t="s">
        <v>53</v>
      </c>
      <c r="D37" s="10"/>
    </row>
    <row r="38" spans="1:4" ht="14.25" thickBot="1" x14ac:dyDescent="0.3">
      <c r="A38" s="12" t="s">
        <v>21</v>
      </c>
      <c r="B38" s="12">
        <f>SUM(B35:B37)</f>
        <v>12</v>
      </c>
      <c r="C38" s="111" t="s">
        <v>44</v>
      </c>
      <c r="D38" s="13"/>
    </row>
    <row r="39" spans="1:4" ht="15" thickBot="1" x14ac:dyDescent="0.35">
      <c r="A39" s="14"/>
      <c r="B39" s="14"/>
      <c r="C39" s="14"/>
      <c r="D39" s="14"/>
    </row>
    <row r="40" spans="1:4" ht="18.75" thickBot="1" x14ac:dyDescent="0.3">
      <c r="A40" s="6" t="s">
        <v>13</v>
      </c>
      <c r="B40" s="7">
        <v>6</v>
      </c>
      <c r="C40" s="116" t="s">
        <v>49</v>
      </c>
      <c r="D40" s="87"/>
    </row>
    <row r="41" spans="1:4" ht="27.75" thickBot="1" x14ac:dyDescent="0.3">
      <c r="A41" s="8" t="s">
        <v>2</v>
      </c>
      <c r="B41" s="18" t="s">
        <v>14</v>
      </c>
      <c r="C41" s="8" t="s">
        <v>6</v>
      </c>
      <c r="D41" s="8" t="s">
        <v>12</v>
      </c>
    </row>
    <row r="42" spans="1:4" ht="27" x14ac:dyDescent="0.25">
      <c r="A42" s="5" t="s">
        <v>66</v>
      </c>
      <c r="B42" s="4">
        <v>8</v>
      </c>
      <c r="C42" s="115" t="s">
        <v>57</v>
      </c>
      <c r="D42" s="9"/>
    </row>
    <row r="43" spans="1:4" ht="27" x14ac:dyDescent="0.25">
      <c r="A43" s="1" t="s">
        <v>32</v>
      </c>
      <c r="B43" s="2">
        <v>2</v>
      </c>
      <c r="C43" s="115" t="s">
        <v>58</v>
      </c>
      <c r="D43" s="10"/>
    </row>
    <row r="44" spans="1:4" x14ac:dyDescent="0.25">
      <c r="A44" s="1" t="s">
        <v>34</v>
      </c>
      <c r="B44" s="2">
        <v>1</v>
      </c>
      <c r="C44" s="115" t="s">
        <v>52</v>
      </c>
      <c r="D44" s="10"/>
    </row>
    <row r="45" spans="1:4" ht="27.75" thickBot="1" x14ac:dyDescent="0.3">
      <c r="A45" s="1" t="s">
        <v>33</v>
      </c>
      <c r="B45" s="2">
        <v>1</v>
      </c>
      <c r="C45" s="115" t="s">
        <v>53</v>
      </c>
      <c r="D45" s="10"/>
    </row>
    <row r="46" spans="1:4" ht="14.25" thickBot="1" x14ac:dyDescent="0.3">
      <c r="A46" s="12" t="s">
        <v>21</v>
      </c>
      <c r="B46" s="12">
        <f>SUM(B42:B45)</f>
        <v>12</v>
      </c>
      <c r="C46" s="111" t="s">
        <v>44</v>
      </c>
      <c r="D46" s="13"/>
    </row>
    <row r="47" spans="1:4" ht="15" thickBot="1" x14ac:dyDescent="0.35">
      <c r="A47" s="14"/>
      <c r="B47" s="14"/>
      <c r="C47" s="14"/>
      <c r="D47" s="14"/>
    </row>
    <row r="48" spans="1:4" ht="18.75" thickBot="1" x14ac:dyDescent="0.3">
      <c r="A48" s="6" t="s">
        <v>13</v>
      </c>
      <c r="B48" s="7">
        <v>7</v>
      </c>
      <c r="C48" s="116" t="s">
        <v>50</v>
      </c>
      <c r="D48" s="87"/>
    </row>
    <row r="49" spans="1:4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</row>
    <row r="50" spans="1:4" ht="40.5" x14ac:dyDescent="0.25">
      <c r="A50" s="5" t="s">
        <v>67</v>
      </c>
      <c r="B50" s="4">
        <v>10</v>
      </c>
      <c r="C50" s="114" t="s">
        <v>75</v>
      </c>
      <c r="D50" s="9"/>
    </row>
    <row r="51" spans="1:4" x14ac:dyDescent="0.25">
      <c r="A51" s="1" t="s">
        <v>34</v>
      </c>
      <c r="B51" s="2">
        <v>1</v>
      </c>
      <c r="C51" s="115" t="s">
        <v>52</v>
      </c>
      <c r="D51" s="10"/>
    </row>
    <row r="52" spans="1:4" ht="27.75" thickBot="1" x14ac:dyDescent="0.3">
      <c r="A52" s="1" t="s">
        <v>33</v>
      </c>
      <c r="B52" s="2">
        <v>1</v>
      </c>
      <c r="C52" s="115" t="s">
        <v>53</v>
      </c>
      <c r="D52" s="10"/>
    </row>
    <row r="53" spans="1:4" ht="14.25" thickBot="1" x14ac:dyDescent="0.3">
      <c r="A53" s="12" t="s">
        <v>21</v>
      </c>
      <c r="B53" s="12">
        <f>SUM(B50:B52)</f>
        <v>12</v>
      </c>
      <c r="C53" s="111" t="s">
        <v>44</v>
      </c>
      <c r="D53" s="13"/>
    </row>
    <row r="54" spans="1:4" ht="15" thickBot="1" x14ac:dyDescent="0.35">
      <c r="A54" s="14"/>
      <c r="B54" s="14"/>
      <c r="C54" s="14"/>
      <c r="D54" s="14"/>
    </row>
    <row r="55" spans="1:4" ht="18.75" thickBot="1" x14ac:dyDescent="0.3">
      <c r="A55" s="6" t="s">
        <v>13</v>
      </c>
      <c r="B55" s="7">
        <v>8</v>
      </c>
      <c r="C55" s="116" t="s">
        <v>50</v>
      </c>
      <c r="D55" s="87"/>
    </row>
    <row r="56" spans="1:4" ht="27.75" thickBot="1" x14ac:dyDescent="0.3">
      <c r="A56" s="8" t="s">
        <v>2</v>
      </c>
      <c r="B56" s="18" t="s">
        <v>14</v>
      </c>
      <c r="C56" s="8" t="s">
        <v>6</v>
      </c>
      <c r="D56" s="8" t="s">
        <v>12</v>
      </c>
    </row>
    <row r="57" spans="1:4" ht="40.5" x14ac:dyDescent="0.25">
      <c r="A57" s="5" t="s">
        <v>67</v>
      </c>
      <c r="B57" s="4">
        <v>8</v>
      </c>
      <c r="C57" s="115" t="s">
        <v>76</v>
      </c>
      <c r="D57" s="9"/>
    </row>
    <row r="58" spans="1:4" ht="27" x14ac:dyDescent="0.25">
      <c r="A58" s="1" t="s">
        <v>78</v>
      </c>
      <c r="B58" s="2">
        <v>2</v>
      </c>
      <c r="C58" s="115" t="s">
        <v>59</v>
      </c>
      <c r="D58" s="10"/>
    </row>
    <row r="59" spans="1:4" x14ac:dyDescent="0.25">
      <c r="A59" s="1" t="s">
        <v>34</v>
      </c>
      <c r="B59" s="2">
        <v>1</v>
      </c>
      <c r="C59" s="115" t="s">
        <v>52</v>
      </c>
      <c r="D59" s="10"/>
    </row>
    <row r="60" spans="1:4" ht="27.75" thickBot="1" x14ac:dyDescent="0.3">
      <c r="A60" s="1" t="s">
        <v>33</v>
      </c>
      <c r="B60" s="2">
        <v>1</v>
      </c>
      <c r="C60" s="115" t="s">
        <v>53</v>
      </c>
      <c r="D60" s="10"/>
    </row>
    <row r="61" spans="1:4" ht="14.25" thickBot="1" x14ac:dyDescent="0.3">
      <c r="A61" s="12" t="s">
        <v>21</v>
      </c>
      <c r="B61" s="12">
        <f>SUM(B57:B60)</f>
        <v>12</v>
      </c>
      <c r="C61" s="111" t="s">
        <v>44</v>
      </c>
      <c r="D61" s="13"/>
    </row>
    <row r="62" spans="1:4" ht="15" thickBot="1" x14ac:dyDescent="0.35">
      <c r="A62" s="14"/>
      <c r="B62" s="14"/>
      <c r="C62" s="14"/>
      <c r="D62" s="14"/>
    </row>
    <row r="63" spans="1:4" ht="18.75" thickBot="1" x14ac:dyDescent="0.3">
      <c r="A63" s="6" t="s">
        <v>13</v>
      </c>
      <c r="B63" s="7">
        <v>9</v>
      </c>
      <c r="C63" s="116" t="s">
        <v>51</v>
      </c>
      <c r="D63" s="87"/>
    </row>
    <row r="64" spans="1:4" ht="27.75" thickBot="1" x14ac:dyDescent="0.3">
      <c r="A64" s="8" t="s">
        <v>2</v>
      </c>
      <c r="B64" s="18" t="s">
        <v>14</v>
      </c>
      <c r="C64" s="8" t="s">
        <v>6</v>
      </c>
      <c r="D64" s="8" t="s">
        <v>12</v>
      </c>
    </row>
    <row r="65" spans="1:4" x14ac:dyDescent="0.25">
      <c r="A65" s="5" t="s">
        <v>30</v>
      </c>
      <c r="B65" s="4">
        <v>1</v>
      </c>
      <c r="C65" s="114" t="s">
        <v>63</v>
      </c>
      <c r="D65" s="9"/>
    </row>
    <row r="66" spans="1:4" ht="27" x14ac:dyDescent="0.25">
      <c r="A66" s="1" t="s">
        <v>31</v>
      </c>
      <c r="B66" s="2">
        <v>1</v>
      </c>
      <c r="C66" s="115" t="s">
        <v>62</v>
      </c>
      <c r="D66" s="10"/>
    </row>
    <row r="67" spans="1:4" ht="27" x14ac:dyDescent="0.25">
      <c r="A67" s="1" t="s">
        <v>32</v>
      </c>
      <c r="B67" s="2">
        <v>1</v>
      </c>
      <c r="C67" s="115" t="s">
        <v>61</v>
      </c>
      <c r="D67" s="10"/>
    </row>
    <row r="68" spans="1:4" ht="27" x14ac:dyDescent="0.25">
      <c r="A68" s="1" t="s">
        <v>78</v>
      </c>
      <c r="B68" s="2">
        <v>1</v>
      </c>
      <c r="C68" s="115" t="s">
        <v>64</v>
      </c>
      <c r="D68" s="10"/>
    </row>
    <row r="69" spans="1:4" x14ac:dyDescent="0.25">
      <c r="A69" s="1" t="s">
        <v>34</v>
      </c>
      <c r="B69" s="2">
        <v>7</v>
      </c>
      <c r="C69" s="115" t="s">
        <v>60</v>
      </c>
      <c r="D69" s="10"/>
    </row>
    <row r="70" spans="1:4" ht="27.75" thickBot="1" x14ac:dyDescent="0.3">
      <c r="A70" s="1" t="s">
        <v>33</v>
      </c>
      <c r="B70" s="2">
        <v>1</v>
      </c>
      <c r="C70" s="115" t="s">
        <v>54</v>
      </c>
      <c r="D70" s="10"/>
    </row>
    <row r="71" spans="1:4" ht="14.25" thickBot="1" x14ac:dyDescent="0.3">
      <c r="A71" s="12" t="s">
        <v>21</v>
      </c>
      <c r="B71" s="12">
        <f>SUM(B65:B70)</f>
        <v>12</v>
      </c>
      <c r="C71" s="111" t="s">
        <v>44</v>
      </c>
      <c r="D71" s="13"/>
    </row>
    <row r="72" spans="1:4" ht="14.25" x14ac:dyDescent="0.3">
      <c r="A72" s="14"/>
      <c r="B72" s="14"/>
      <c r="C72" s="14"/>
      <c r="D72" s="14"/>
    </row>
    <row r="73" spans="1:4" x14ac:dyDescent="0.25">
      <c r="A73" s="112" t="s">
        <v>45</v>
      </c>
    </row>
  </sheetData>
  <sheetProtection insertRows="0" selectLockedCells="1"/>
  <dataValidations count="4">
    <dataValidation type="list" allowBlank="1" showInputMessage="1" showErrorMessage="1" sqref="A27:A30 A42:A45 A57:A60 A65:A70 A3:A6 A11:A15 A20:A22 A35:A37 A50:A52" xr:uid="{41170BC5-95CA-4CFC-AE20-04BB08A9FE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23 B31 B38 B46 B53 B61 B71" xr:uid="{E09C8078-6AF0-4517-ABD5-B1C7716A0A6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27:B30 B42:B45 B57:B60 B65:B70 B3:B6 F15:F18 B11:B15 B20:B22 B35:B37 B50:B52" xr:uid="{E573949A-AB6B-4328-A227-1CBA8C9179C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 xr:uid="{332BB2A3-AA73-463E-BA1F-B5095A505CE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BA408-5A90-4D0F-A2AB-721878CF69B2}">
  <sheetPr codeName="Feuil9"/>
  <dimension ref="A1:I151"/>
  <sheetViews>
    <sheetView tabSelected="1" workbookViewId="0">
      <selection activeCell="G17" sqref="G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45733</v>
      </c>
    </row>
    <row r="2" spans="1:9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9" s="53" customFormat="1" x14ac:dyDescent="0.25">
      <c r="A3" s="5" t="s">
        <v>28</v>
      </c>
      <c r="B3" s="4">
        <v>7</v>
      </c>
      <c r="C3" s="114" t="s">
        <v>83</v>
      </c>
      <c r="D3" s="9"/>
    </row>
    <row r="4" spans="1:9" s="53" customFormat="1" ht="40.5" x14ac:dyDescent="0.25">
      <c r="A4" s="1" t="s">
        <v>70</v>
      </c>
      <c r="B4" s="2">
        <v>3</v>
      </c>
      <c r="C4" s="115" t="s">
        <v>82</v>
      </c>
      <c r="D4" s="115" t="s">
        <v>79</v>
      </c>
    </row>
    <row r="5" spans="1:9" s="53" customFormat="1" x14ac:dyDescent="0.25">
      <c r="A5" s="1" t="s">
        <v>34</v>
      </c>
      <c r="B5" s="2">
        <v>1</v>
      </c>
      <c r="C5" s="115" t="s">
        <v>81</v>
      </c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48" t="s">
        <v>21</v>
      </c>
      <c r="B7" s="48">
        <f>SUM(B3:B6)</f>
        <v>12</v>
      </c>
      <c r="C7" s="113" t="s">
        <v>44</v>
      </c>
      <c r="D7" s="49"/>
    </row>
    <row r="8" spans="1:9" ht="15" thickBot="1" x14ac:dyDescent="0.35">
      <c r="A8" s="50"/>
      <c r="B8" s="50"/>
      <c r="C8" s="50"/>
      <c r="D8" s="50"/>
    </row>
    <row r="9" spans="1:9" ht="18.75" thickBot="1" x14ac:dyDescent="0.3">
      <c r="A9" s="43" t="s">
        <v>13</v>
      </c>
      <c r="B9" s="44">
        <v>2</v>
      </c>
      <c r="C9" s="45" t="s">
        <v>22</v>
      </c>
      <c r="D9" s="54">
        <f>$D$1+7</f>
        <v>45740</v>
      </c>
    </row>
    <row r="10" spans="1:9" ht="27.75" thickBot="1" x14ac:dyDescent="0.3">
      <c r="A10" s="46" t="s">
        <v>2</v>
      </c>
      <c r="B10" s="47" t="s">
        <v>14</v>
      </c>
      <c r="C10" s="46" t="s">
        <v>6</v>
      </c>
      <c r="D10" s="46" t="s">
        <v>12</v>
      </c>
    </row>
    <row r="11" spans="1:9" ht="40.5" x14ac:dyDescent="0.25">
      <c r="A11" s="5" t="s">
        <v>71</v>
      </c>
      <c r="B11" s="4">
        <v>4</v>
      </c>
      <c r="C11" s="115" t="s">
        <v>84</v>
      </c>
      <c r="D11" s="9"/>
    </row>
    <row r="12" spans="1:9" ht="27" x14ac:dyDescent="0.25">
      <c r="A12" s="1" t="s">
        <v>29</v>
      </c>
      <c r="B12" s="2">
        <v>4</v>
      </c>
      <c r="C12" s="115" t="s">
        <v>85</v>
      </c>
      <c r="D12" s="10"/>
    </row>
    <row r="13" spans="1:9" ht="27" x14ac:dyDescent="0.25">
      <c r="A13" s="1" t="s">
        <v>30</v>
      </c>
      <c r="B13" s="2">
        <v>2</v>
      </c>
      <c r="C13" s="115" t="s">
        <v>87</v>
      </c>
      <c r="D13" s="10"/>
      <c r="E13" s="20"/>
      <c r="F13" s="20"/>
      <c r="G13" s="20"/>
      <c r="H13" s="20"/>
      <c r="I13" s="20"/>
    </row>
    <row r="14" spans="1:9" ht="12.75" customHeight="1" x14ac:dyDescent="0.25">
      <c r="A14" s="1" t="s">
        <v>34</v>
      </c>
      <c r="B14" s="2">
        <v>1</v>
      </c>
      <c r="C14" s="115" t="s">
        <v>86</v>
      </c>
      <c r="D14" s="10"/>
      <c r="E14" s="20"/>
      <c r="F14" s="32"/>
      <c r="G14" s="33"/>
      <c r="H14" s="34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5"/>
      <c r="G15" s="31"/>
      <c r="H15" s="31"/>
      <c r="I15" s="20"/>
    </row>
    <row r="16" spans="1:9" ht="14.25" thickBot="1" x14ac:dyDescent="0.3">
      <c r="A16" s="48" t="s">
        <v>21</v>
      </c>
      <c r="B16" s="48">
        <f>SUM(B11:B15)</f>
        <v>12</v>
      </c>
      <c r="C16" s="113" t="s">
        <v>44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13</v>
      </c>
      <c r="B18" s="44">
        <v>3</v>
      </c>
      <c r="C18" s="45" t="s">
        <v>22</v>
      </c>
      <c r="D18" s="54">
        <f>$D$9+7</f>
        <v>45747</v>
      </c>
      <c r="E18" s="20"/>
      <c r="F18" s="20"/>
      <c r="G18" s="20"/>
      <c r="H18" s="20"/>
      <c r="I18" s="20"/>
    </row>
    <row r="19" spans="1:9" ht="27.75" thickBot="1" x14ac:dyDescent="0.3">
      <c r="A19" s="46" t="s">
        <v>2</v>
      </c>
      <c r="B19" s="47" t="s">
        <v>14</v>
      </c>
      <c r="C19" s="46" t="s">
        <v>6</v>
      </c>
      <c r="D19" s="46" t="s">
        <v>12</v>
      </c>
    </row>
    <row r="20" spans="1:9" x14ac:dyDescent="0.25">
      <c r="A20" s="5"/>
      <c r="B20" s="4"/>
      <c r="C20" s="9"/>
      <c r="D20" s="9"/>
    </row>
    <row r="21" spans="1:9" x14ac:dyDescent="0.25">
      <c r="A21" s="1"/>
      <c r="B21" s="2"/>
      <c r="C21" s="10"/>
      <c r="D21" s="10"/>
    </row>
    <row r="22" spans="1:9" x14ac:dyDescent="0.25">
      <c r="A22" s="1"/>
      <c r="B22" s="2"/>
      <c r="C22" s="10"/>
      <c r="D22" s="10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</row>
    <row r="27" spans="1:9" x14ac:dyDescent="0.25">
      <c r="A27" s="1"/>
      <c r="B27" s="2"/>
      <c r="C27" s="10"/>
      <c r="D27" s="10"/>
    </row>
    <row r="28" spans="1:9" x14ac:dyDescent="0.25">
      <c r="A28" s="1"/>
      <c r="B28" s="2"/>
      <c r="C28" s="10"/>
      <c r="D28" s="10"/>
    </row>
    <row r="29" spans="1:9" x14ac:dyDescent="0.25">
      <c r="A29" s="2"/>
      <c r="B29" s="2"/>
      <c r="C29" s="10"/>
      <c r="D29" s="10"/>
    </row>
    <row r="30" spans="1:9" x14ac:dyDescent="0.25">
      <c r="A30" s="2"/>
      <c r="B30" s="2"/>
      <c r="C30" s="10"/>
      <c r="D30" s="10"/>
    </row>
    <row r="31" spans="1:9" x14ac:dyDescent="0.25">
      <c r="A31" s="2"/>
      <c r="B31" s="2"/>
      <c r="C31" s="10"/>
      <c r="D31" s="10"/>
    </row>
    <row r="32" spans="1:9" x14ac:dyDescent="0.25">
      <c r="A32" s="51"/>
      <c r="B32" s="51"/>
      <c r="C32" s="52"/>
      <c r="D32" s="52"/>
    </row>
    <row r="33" spans="1:4" x14ac:dyDescent="0.25">
      <c r="A33" s="51"/>
      <c r="B33" s="51"/>
      <c r="C33" s="52"/>
      <c r="D33" s="52"/>
    </row>
    <row r="34" spans="1:4" ht="14.25" thickBot="1" x14ac:dyDescent="0.3">
      <c r="A34" s="3"/>
      <c r="B34" s="3"/>
      <c r="C34" s="11"/>
      <c r="D34" s="11"/>
    </row>
    <row r="35" spans="1:4" ht="14.25" thickBot="1" x14ac:dyDescent="0.3">
      <c r="A35" s="48" t="s">
        <v>21</v>
      </c>
      <c r="B35" s="48">
        <f>SUM(B20:B34)</f>
        <v>0</v>
      </c>
      <c r="C35" s="113" t="s">
        <v>44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13</v>
      </c>
      <c r="B37" s="44">
        <v>4</v>
      </c>
      <c r="C37" s="45" t="s">
        <v>22</v>
      </c>
      <c r="D37" s="54">
        <f>$D$18+7</f>
        <v>45754</v>
      </c>
    </row>
    <row r="38" spans="1:4" ht="27.75" thickBot="1" x14ac:dyDescent="0.3">
      <c r="A38" s="46" t="s">
        <v>2</v>
      </c>
      <c r="B38" s="47" t="s">
        <v>14</v>
      </c>
      <c r="C38" s="46" t="s">
        <v>6</v>
      </c>
      <c r="D38" s="46" t="s">
        <v>12</v>
      </c>
    </row>
    <row r="39" spans="1:4" x14ac:dyDescent="0.25">
      <c r="A39" s="5"/>
      <c r="B39" s="4"/>
      <c r="C39" s="9"/>
      <c r="D39" s="9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x14ac:dyDescent="0.25">
      <c r="A43" s="1"/>
      <c r="B43" s="2"/>
      <c r="C43" s="10"/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2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51"/>
      <c r="B51" s="51"/>
      <c r="C51" s="52"/>
      <c r="D51" s="52"/>
    </row>
    <row r="52" spans="1:4" x14ac:dyDescent="0.25">
      <c r="A52" s="51"/>
      <c r="B52" s="51"/>
      <c r="C52" s="52"/>
      <c r="D52" s="52"/>
    </row>
    <row r="53" spans="1:4" ht="14.25" thickBot="1" x14ac:dyDescent="0.3">
      <c r="A53" s="3"/>
      <c r="B53" s="3"/>
      <c r="C53" s="11"/>
      <c r="D53" s="11"/>
    </row>
    <row r="54" spans="1:4" ht="14.25" thickBot="1" x14ac:dyDescent="0.3">
      <c r="A54" s="48" t="s">
        <v>21</v>
      </c>
      <c r="B54" s="48">
        <f>SUM(B39:B53)</f>
        <v>0</v>
      </c>
      <c r="C54" s="113" t="s">
        <v>44</v>
      </c>
      <c r="D54" s="49"/>
    </row>
    <row r="55" spans="1:4" ht="15" thickBot="1" x14ac:dyDescent="0.35">
      <c r="A55" s="50"/>
      <c r="B55" s="50"/>
      <c r="C55" s="50"/>
      <c r="D55" s="50"/>
    </row>
    <row r="56" spans="1:4" ht="18.75" thickBot="1" x14ac:dyDescent="0.3">
      <c r="A56" s="43" t="s">
        <v>13</v>
      </c>
      <c r="B56" s="44">
        <v>5</v>
      </c>
      <c r="C56" s="45" t="s">
        <v>22</v>
      </c>
      <c r="D56" s="54">
        <f>$D$37+7</f>
        <v>45761</v>
      </c>
    </row>
    <row r="57" spans="1:4" ht="27.75" thickBot="1" x14ac:dyDescent="0.3">
      <c r="A57" s="46" t="s">
        <v>2</v>
      </c>
      <c r="B57" s="47" t="s">
        <v>14</v>
      </c>
      <c r="C57" s="46" t="s">
        <v>6</v>
      </c>
      <c r="D57" s="46" t="s">
        <v>12</v>
      </c>
    </row>
    <row r="58" spans="1:4" x14ac:dyDescent="0.25">
      <c r="A58" s="5"/>
      <c r="B58" s="4"/>
      <c r="C58" s="9"/>
      <c r="D58" s="9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51"/>
      <c r="B70" s="51"/>
      <c r="C70" s="52"/>
      <c r="D70" s="52"/>
    </row>
    <row r="71" spans="1:4" x14ac:dyDescent="0.25">
      <c r="A71" s="51"/>
      <c r="B71" s="51"/>
      <c r="C71" s="52"/>
      <c r="D71" s="52"/>
    </row>
    <row r="72" spans="1:4" ht="14.25" thickBot="1" x14ac:dyDescent="0.3">
      <c r="A72" s="3"/>
      <c r="B72" s="3"/>
      <c r="C72" s="11"/>
      <c r="D72" s="11"/>
    </row>
    <row r="73" spans="1:4" ht="14.25" thickBot="1" x14ac:dyDescent="0.3">
      <c r="A73" s="48" t="s">
        <v>21</v>
      </c>
      <c r="B73" s="48">
        <f>SUM(B58:B72)</f>
        <v>0</v>
      </c>
      <c r="C73" s="113" t="s">
        <v>44</v>
      </c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13</v>
      </c>
      <c r="B75" s="44">
        <v>6</v>
      </c>
      <c r="C75" s="45" t="s">
        <v>22</v>
      </c>
      <c r="D75" s="54">
        <f>$D$56+7</f>
        <v>45768</v>
      </c>
    </row>
    <row r="76" spans="1:4" ht="27.75" thickBot="1" x14ac:dyDescent="0.3">
      <c r="A76" s="46" t="s">
        <v>2</v>
      </c>
      <c r="B76" s="47" t="s">
        <v>14</v>
      </c>
      <c r="C76" s="46" t="s">
        <v>6</v>
      </c>
      <c r="D76" s="46" t="s">
        <v>12</v>
      </c>
    </row>
    <row r="77" spans="1:4" x14ac:dyDescent="0.25">
      <c r="A77" s="5"/>
      <c r="B77" s="4"/>
      <c r="C77" s="9"/>
      <c r="D77" s="9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21</v>
      </c>
      <c r="B92" s="48">
        <f>SUM(B77:B91)</f>
        <v>0</v>
      </c>
      <c r="C92" s="113" t="s">
        <v>44</v>
      </c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13</v>
      </c>
      <c r="B94" s="44">
        <v>7</v>
      </c>
      <c r="C94" s="45" t="s">
        <v>22</v>
      </c>
      <c r="D94" s="54">
        <f>$D$75+7</f>
        <v>45775</v>
      </c>
    </row>
    <row r="95" spans="1:4" ht="27.75" thickBot="1" x14ac:dyDescent="0.3">
      <c r="A95" s="46" t="s">
        <v>2</v>
      </c>
      <c r="B95" s="47" t="s">
        <v>14</v>
      </c>
      <c r="C95" s="46" t="s">
        <v>6</v>
      </c>
      <c r="D95" s="46" t="s">
        <v>12</v>
      </c>
    </row>
    <row r="96" spans="1:4" x14ac:dyDescent="0.25">
      <c r="A96" s="5"/>
      <c r="B96" s="4"/>
      <c r="C96" s="9"/>
      <c r="D96" s="9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21</v>
      </c>
      <c r="B111" s="48">
        <f>SUM(B96:B110)</f>
        <v>0</v>
      </c>
      <c r="C111" s="113" t="s">
        <v>44</v>
      </c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13</v>
      </c>
      <c r="B113" s="44">
        <v>8</v>
      </c>
      <c r="C113" s="45" t="s">
        <v>22</v>
      </c>
      <c r="D113" s="54">
        <f>$D$94+7</f>
        <v>45782</v>
      </c>
    </row>
    <row r="114" spans="1:4" ht="27.75" thickBot="1" x14ac:dyDescent="0.3">
      <c r="A114" s="46" t="s">
        <v>2</v>
      </c>
      <c r="B114" s="47" t="s">
        <v>14</v>
      </c>
      <c r="C114" s="46" t="s">
        <v>6</v>
      </c>
      <c r="D114" s="46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21</v>
      </c>
      <c r="B130" s="48">
        <f>SUM(B115:B129)</f>
        <v>0</v>
      </c>
      <c r="C130" s="113" t="s">
        <v>44</v>
      </c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13</v>
      </c>
      <c r="B132" s="44">
        <v>9</v>
      </c>
      <c r="C132" s="45" t="s">
        <v>22</v>
      </c>
      <c r="D132" s="54">
        <f>$D$113+7</f>
        <v>45789</v>
      </c>
    </row>
    <row r="133" spans="1:4" ht="27.75" thickBot="1" x14ac:dyDescent="0.3">
      <c r="A133" s="46" t="s">
        <v>2</v>
      </c>
      <c r="B133" s="47" t="s">
        <v>14</v>
      </c>
      <c r="C133" s="46" t="s">
        <v>6</v>
      </c>
      <c r="D133" s="46" t="s">
        <v>12</v>
      </c>
    </row>
    <row r="134" spans="1:4" x14ac:dyDescent="0.25">
      <c r="A134" s="5"/>
      <c r="B134" s="4"/>
      <c r="C134" s="9"/>
      <c r="D134" s="9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21</v>
      </c>
      <c r="B149" s="48">
        <f>SUM(B134:B148)</f>
        <v>0</v>
      </c>
      <c r="C149" s="113" t="s">
        <v>44</v>
      </c>
      <c r="D149" s="49"/>
    </row>
    <row r="150" spans="1:4" ht="14.25" x14ac:dyDescent="0.3">
      <c r="A150" s="50"/>
      <c r="B150" s="50"/>
      <c r="C150" s="50"/>
      <c r="D150" s="50"/>
    </row>
    <row r="151" spans="1:4" x14ac:dyDescent="0.25">
      <c r="A151" s="112" t="s">
        <v>45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34:B148 B3:B6 B20:B34 B39:B53 B58:B72 B77:B91 B96:B110 B115:B129 B11:B15" xr:uid="{3D0019F2-598B-4673-868C-BA091DFB4A0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35 B54 B73 B92 B111 B130 B149" xr:uid="{15FDDE55-556B-4F61-AFE6-14AE74D4F54A}">
      <formula1>0</formula1>
      <formula2>NbPerWeek * NbQuartPer</formula2>
    </dataValidation>
    <dataValidation type="list" allowBlank="1" showInputMessage="1" showErrorMessage="1" sqref="A134:A148 A3:A6 A20:A34 A39:A53 A58:A72 A77:A91 A96:A110 A115:A129 A11:A15" xr:uid="{FFF3B2EA-D735-4217-BEFF-482EA2865BF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2025-03-24T10:24:56Z</dcterms:modified>
</cp:coreProperties>
</file>